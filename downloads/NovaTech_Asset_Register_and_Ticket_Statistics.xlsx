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Ticket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3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cfd8e3"/>
      </left>
      <right style="thin">
        <color rgb="00cfd8e3"/>
      </right>
      <top style="thin">
        <color rgb="00cfd8e3"/>
      </top>
      <bottom style="thin">
        <color rgb="00cfd8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dxfs count="1">
    <dxf>
      <font>
        <b val="1"/>
        <color rgb="009C1A1A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6" customWidth="1" min="5" max="5"/>
    <col width="12" customWidth="1" min="6" max="6"/>
    <col width="13" customWidth="1" min="7" max="7"/>
    <col width="12" customWidth="1" min="8" max="8"/>
    <col width="20" customWidth="1" min="9" max="9"/>
  </cols>
  <sheetData>
    <row r="1">
      <c r="A1" s="1" t="inlineStr">
        <is>
          <t>Asset ID</t>
        </is>
      </c>
      <c r="B1" s="1" t="inlineStr">
        <is>
          <t>Model</t>
        </is>
      </c>
      <c r="C1" s="1" t="inlineStr">
        <is>
          <t>Department</t>
        </is>
      </c>
      <c r="D1" s="1" t="inlineStr">
        <is>
          <t>Purchase Year</t>
        </is>
      </c>
      <c r="E1" s="1" t="inlineStr">
        <is>
          <t>Warranty Expiry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Age (years)</t>
        </is>
      </c>
      <c r="I1" s="1" t="inlineStr">
        <is>
          <t>Replacement Needed</t>
        </is>
      </c>
    </row>
    <row r="2">
      <c r="A2" s="2" t="inlineStr">
        <is>
          <t>NT-LT-001</t>
        </is>
      </c>
      <c r="B2" s="2" t="inlineStr">
        <is>
          <t>Dell Latitude 5540</t>
        </is>
      </c>
      <c r="C2" s="2" t="inlineStr">
        <is>
          <t>Finance</t>
        </is>
      </c>
      <c r="D2" s="2" t="n">
        <v>2020</v>
      </c>
      <c r="E2" s="2" t="n">
        <v>2025</v>
      </c>
      <c r="F2" s="2" t="inlineStr">
        <is>
          <t>In Use</t>
        </is>
      </c>
      <c r="G2" s="2" t="inlineStr">
        <is>
          <t>T. Moyo</t>
        </is>
      </c>
      <c r="H2" s="2">
        <f>DATEDIF(D2,DATE(2025,1,1),"y")</f>
        <v/>
      </c>
      <c r="I2" s="2">
        <f>IF(H2&gt;5,"Yes","No")</f>
        <v/>
      </c>
    </row>
    <row r="3">
      <c r="A3" s="2" t="inlineStr">
        <is>
          <t>NT-LT-002</t>
        </is>
      </c>
      <c r="B3" s="2" t="inlineStr">
        <is>
          <t>HP ProBook 450</t>
        </is>
      </c>
      <c r="C3" s="2" t="inlineStr">
        <is>
          <t>Operations</t>
        </is>
      </c>
      <c r="D3" s="2" t="n">
        <v>2021</v>
      </c>
      <c r="E3" s="2" t="n">
        <v>2026</v>
      </c>
      <c r="F3" s="2" t="inlineStr">
        <is>
          <t>In Use</t>
        </is>
      </c>
      <c r="G3" s="2" t="inlineStr">
        <is>
          <t>S. Ndlovu</t>
        </is>
      </c>
      <c r="H3" s="2">
        <f>DATEDIF(D3,DATE(2025,1,1),"y")</f>
        <v/>
      </c>
      <c r="I3" s="2">
        <f>IF(H3&gt;5,"Yes","No")</f>
        <v/>
      </c>
    </row>
    <row r="4">
      <c r="A4" s="2" t="inlineStr">
        <is>
          <t>NT-LT-003</t>
        </is>
      </c>
      <c r="B4" s="2" t="inlineStr">
        <is>
          <t>Lenovo ThinkPad E15</t>
        </is>
      </c>
      <c r="C4" s="2" t="inlineStr">
        <is>
          <t>Finance</t>
        </is>
      </c>
      <c r="D4" s="2" t="n">
        <v>2019</v>
      </c>
      <c r="E4" s="2" t="n">
        <v>2024</v>
      </c>
      <c r="F4" s="2" t="inlineStr">
        <is>
          <t>In Use</t>
        </is>
      </c>
      <c r="G4" s="2" t="inlineStr">
        <is>
          <t>L. Dlamini</t>
        </is>
      </c>
      <c r="H4" s="2">
        <f>DATEDIF(D4,DATE(2025,1,1),"y")</f>
        <v/>
      </c>
      <c r="I4" s="2">
        <f>IF(H4&gt;5,"Yes","No")</f>
        <v/>
      </c>
    </row>
    <row r="5">
      <c r="A5" s="2" t="inlineStr">
        <is>
          <t>NT-LT-004</t>
        </is>
      </c>
      <c r="B5" s="2" t="inlineStr">
        <is>
          <t>Dell Latitude 5540</t>
        </is>
      </c>
      <c r="C5" s="2" t="inlineStr">
        <is>
          <t>Sales</t>
        </is>
      </c>
      <c r="D5" s="2" t="n">
        <v>2022</v>
      </c>
      <c r="E5" s="2" t="n">
        <v>2027</v>
      </c>
      <c r="F5" s="2" t="inlineStr">
        <is>
          <t>In Use</t>
        </is>
      </c>
      <c r="G5" s="2" t="inlineStr">
        <is>
          <t>T. Moyo</t>
        </is>
      </c>
      <c r="H5" s="2">
        <f>DATEDIF(D5,DATE(2025,1,1),"y")</f>
        <v/>
      </c>
      <c r="I5" s="2">
        <f>IF(H5&gt;5,"Yes","No")</f>
        <v/>
      </c>
    </row>
    <row r="6">
      <c r="A6" s="2" t="inlineStr">
        <is>
          <t>NT-DT-005</t>
        </is>
      </c>
      <c r="B6" s="2" t="inlineStr">
        <is>
          <t>HP EliteDesk 800</t>
        </is>
      </c>
      <c r="C6" s="2" t="inlineStr">
        <is>
          <t>Operations</t>
        </is>
      </c>
      <c r="D6" s="2" t="n">
        <v>2018</v>
      </c>
      <c r="E6" s="2" t="n">
        <v>2023</v>
      </c>
      <c r="F6" s="2" t="inlineStr">
        <is>
          <t>In Use</t>
        </is>
      </c>
      <c r="G6" s="2" t="inlineStr">
        <is>
          <t>S. Ndlovu</t>
        </is>
      </c>
      <c r="H6" s="2">
        <f>DATEDIF(D6,DATE(2025,1,1),"y")</f>
        <v/>
      </c>
      <c r="I6" s="2">
        <f>IF(H6&gt;5,"Yes","No")</f>
        <v/>
      </c>
    </row>
    <row r="7">
      <c r="A7" s="2" t="inlineStr">
        <is>
          <t>NT-DT-006</t>
        </is>
      </c>
      <c r="B7" s="2" t="inlineStr">
        <is>
          <t>Dell OptiPlex 7010</t>
        </is>
      </c>
      <c r="C7" s="2" t="inlineStr">
        <is>
          <t>Finance</t>
        </is>
      </c>
      <c r="D7" s="2" t="n">
        <v>2019</v>
      </c>
      <c r="E7" s="2" t="n">
        <v>2024</v>
      </c>
      <c r="F7" s="2" t="inlineStr">
        <is>
          <t>In Repair</t>
        </is>
      </c>
      <c r="G7" s="2" t="inlineStr">
        <is>
          <t>L. Dlamini</t>
        </is>
      </c>
      <c r="H7" s="2">
        <f>DATEDIF(D7,DATE(2025,1,1),"y")</f>
        <v/>
      </c>
      <c r="I7" s="2">
        <f>IF(H7&gt;5,"Yes","No")</f>
        <v/>
      </c>
    </row>
    <row r="8">
      <c r="A8" s="2" t="inlineStr">
        <is>
          <t>NT-PR-007</t>
        </is>
      </c>
      <c r="B8" s="2" t="inlineStr">
        <is>
          <t>HP LaserJet M428</t>
        </is>
      </c>
      <c r="C8" s="2" t="inlineStr">
        <is>
          <t>Operations</t>
        </is>
      </c>
      <c r="D8" s="2" t="n">
        <v>2020</v>
      </c>
      <c r="E8" s="2" t="n">
        <v>2025</v>
      </c>
      <c r="F8" s="2" t="inlineStr">
        <is>
          <t>In Use</t>
        </is>
      </c>
      <c r="G8" s="2" t="inlineStr">
        <is>
          <t>T. Moyo</t>
        </is>
      </c>
      <c r="H8" s="2">
        <f>DATEDIF(D8,DATE(2025,1,1),"y")</f>
        <v/>
      </c>
      <c r="I8" s="2">
        <f>IF(H8&gt;5,"Yes","No")</f>
        <v/>
      </c>
    </row>
    <row r="9">
      <c r="A9" s="2" t="inlineStr">
        <is>
          <t>NT-PR-008</t>
        </is>
      </c>
      <c r="B9" s="2" t="inlineStr">
        <is>
          <t>Canon i-SENSYS LBP</t>
        </is>
      </c>
      <c r="C9" s="2" t="inlineStr">
        <is>
          <t>Sales</t>
        </is>
      </c>
      <c r="D9" s="2" t="n">
        <v>2018</v>
      </c>
      <c r="E9" s="2" t="n">
        <v>2023</v>
      </c>
      <c r="F9" s="2" t="inlineStr">
        <is>
          <t>In Use</t>
        </is>
      </c>
      <c r="G9" s="2" t="inlineStr">
        <is>
          <t>S. Ndlovu</t>
        </is>
      </c>
      <c r="H9" s="2">
        <f>DATEDIF(D9,DATE(2025,1,1),"y")</f>
        <v/>
      </c>
      <c r="I9" s="2">
        <f>IF(H9&gt;5,"Yes","No")</f>
        <v/>
      </c>
    </row>
    <row r="10">
      <c r="A10" s="2" t="inlineStr">
        <is>
          <t>NT-SW-009</t>
        </is>
      </c>
      <c r="B10" s="2" t="inlineStr">
        <is>
          <t>Cisco Catalyst 2960</t>
        </is>
      </c>
      <c r="C10" s="2" t="inlineStr">
        <is>
          <t>IT</t>
        </is>
      </c>
      <c r="D10" s="2" t="n">
        <v>2019</v>
      </c>
      <c r="E10" s="2" t="n">
        <v>2024</v>
      </c>
      <c r="F10" s="2" t="inlineStr">
        <is>
          <t>In Use</t>
        </is>
      </c>
      <c r="G10" s="2" t="inlineStr">
        <is>
          <t>L. Dlamini</t>
        </is>
      </c>
      <c r="H10" s="2">
        <f>DATEDIF(D10,DATE(2025,1,1),"y")</f>
        <v/>
      </c>
      <c r="I10" s="2">
        <f>IF(H10&gt;5,"Yes","No")</f>
        <v/>
      </c>
    </row>
    <row r="11">
      <c r="A11" s="2" t="inlineStr">
        <is>
          <t>NT-RT-010</t>
        </is>
      </c>
      <c r="B11" s="2" t="inlineStr">
        <is>
          <t>Cisco RV340 Router</t>
        </is>
      </c>
      <c r="C11" s="2" t="inlineStr">
        <is>
          <t>IT</t>
        </is>
      </c>
      <c r="D11" s="2" t="n">
        <v>2021</v>
      </c>
      <c r="E11" s="2" t="n">
        <v>2026</v>
      </c>
      <c r="F11" s="2" t="inlineStr">
        <is>
          <t>In Use</t>
        </is>
      </c>
      <c r="G11" s="2" t="inlineStr">
        <is>
          <t>T. Moyo</t>
        </is>
      </c>
      <c r="H11" s="2">
        <f>DATEDIF(D11,DATE(2025,1,1),"y")</f>
        <v/>
      </c>
      <c r="I11" s="2">
        <f>IF(H11&gt;5,"Yes","No")</f>
        <v/>
      </c>
    </row>
    <row r="12">
      <c r="A12" s="2" t="inlineStr">
        <is>
          <t>NT-AP-011</t>
        </is>
      </c>
      <c r="B12" s="2" t="inlineStr">
        <is>
          <t>Ubiquiti UniFi AP</t>
        </is>
      </c>
      <c r="C12" s="2" t="inlineStr">
        <is>
          <t>IT</t>
        </is>
      </c>
      <c r="D12" s="2" t="n">
        <v>2022</v>
      </c>
      <c r="E12" s="2" t="n">
        <v>2027</v>
      </c>
      <c r="F12" s="2" t="inlineStr">
        <is>
          <t>In Use</t>
        </is>
      </c>
      <c r="G12" s="2" t="inlineStr">
        <is>
          <t>S. Ndlovu</t>
        </is>
      </c>
      <c r="H12" s="2">
        <f>DATEDIF(D12,DATE(2025,1,1),"y")</f>
        <v/>
      </c>
      <c r="I12" s="2">
        <f>IF(H12&gt;5,"Yes","No")</f>
        <v/>
      </c>
    </row>
    <row r="13">
      <c r="A13" s="2" t="inlineStr">
        <is>
          <t>NT-MN-012</t>
        </is>
      </c>
      <c r="B13" s="2" t="inlineStr">
        <is>
          <t>Dell P2422H Monitor</t>
        </is>
      </c>
      <c r="C13" s="2" t="inlineStr">
        <is>
          <t>Finance</t>
        </is>
      </c>
      <c r="D13" s="2" t="n">
        <v>2020</v>
      </c>
      <c r="E13" s="2" t="n">
        <v>2025</v>
      </c>
      <c r="F13" s="2" t="inlineStr">
        <is>
          <t>In Use</t>
        </is>
      </c>
      <c r="G13" s="2" t="inlineStr">
        <is>
          <t>L. Dlamini</t>
        </is>
      </c>
      <c r="H13" s="2">
        <f>DATEDIF(D13,DATE(2025,1,1),"y")</f>
        <v/>
      </c>
      <c r="I13" s="2">
        <f>IF(H13&gt;5,"Yes","No")</f>
        <v/>
      </c>
    </row>
    <row r="14">
      <c r="A14" s="2" t="inlineStr">
        <is>
          <t>NT-MN-013</t>
        </is>
      </c>
      <c r="B14" s="2" t="inlineStr">
        <is>
          <t>HP P24v Monitor</t>
        </is>
      </c>
      <c r="C14" s="2" t="inlineStr">
        <is>
          <t>Sales</t>
        </is>
      </c>
      <c r="D14" s="2" t="n">
        <v>2019</v>
      </c>
      <c r="E14" s="2" t="n">
        <v>2024</v>
      </c>
      <c r="F14" s="2" t="inlineStr">
        <is>
          <t>In Storage</t>
        </is>
      </c>
      <c r="G14" s="2" t="inlineStr">
        <is>
          <t>T. Moyo</t>
        </is>
      </c>
      <c r="H14" s="2">
        <f>DATEDIF(D14,DATE(2025,1,1),"y")</f>
        <v/>
      </c>
      <c r="I14" s="2">
        <f>IF(H14&gt;5,"Yes","No")</f>
        <v/>
      </c>
    </row>
    <row r="15">
      <c r="A15" s="2" t="inlineStr">
        <is>
          <t>NT-LT-014</t>
        </is>
      </c>
      <c r="B15" s="2" t="inlineStr">
        <is>
          <t>Lenovo ThinkPad L14</t>
        </is>
      </c>
      <c r="C15" s="2" t="inlineStr">
        <is>
          <t>Operations</t>
        </is>
      </c>
      <c r="D15" s="2" t="n">
        <v>2023</v>
      </c>
      <c r="E15" s="2" t="n">
        <v>2028</v>
      </c>
      <c r="F15" s="2" t="inlineStr">
        <is>
          <t>In Use</t>
        </is>
      </c>
      <c r="G15" s="2" t="inlineStr">
        <is>
          <t>S. Ndlovu</t>
        </is>
      </c>
      <c r="H15" s="2">
        <f>DATEDIF(D15,DATE(2025,1,1),"y")</f>
        <v/>
      </c>
      <c r="I15" s="2">
        <f>IF(H15&gt;5,"Yes","No")</f>
        <v/>
      </c>
    </row>
    <row r="16">
      <c r="A16" s="2" t="inlineStr">
        <is>
          <t>NT-SR-015</t>
        </is>
      </c>
      <c r="B16" s="2" t="inlineStr">
        <is>
          <t>Dell PowerEdge R450</t>
        </is>
      </c>
      <c r="C16" s="2" t="inlineStr">
        <is>
          <t>IT</t>
        </is>
      </c>
      <c r="D16" s="2" t="n">
        <v>2022</v>
      </c>
      <c r="E16" s="2" t="n">
        <v>2027</v>
      </c>
      <c r="F16" s="2" t="inlineStr">
        <is>
          <t>In Use</t>
        </is>
      </c>
      <c r="G16" s="2" t="inlineStr">
        <is>
          <t>L. Dlamini</t>
        </is>
      </c>
      <c r="H16" s="2">
        <f>DATEDIF(D16,DATE(2025,1,1),"y")</f>
        <v/>
      </c>
      <c r="I16" s="2">
        <f>IF(H16&gt;5,"Yes","No")</f>
        <v/>
      </c>
    </row>
  </sheetData>
  <conditionalFormatting sqref="A2:I16">
    <cfRule type="cellIs" priority="1" operator="greaterThan" dxfId="0">
      <formula>5</formula>
    </cfRule>
  </conditionalFormatting>
  <conditionalFormatting sqref="H2:H16">
    <cfRule type="cellIs" priority="2" operator="greaterThan" dxfId="0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</cols>
  <sheetData>
    <row r="1">
      <c r="A1" s="3" t="inlineStr">
        <is>
          <t>Ticket Statistics - NovaTech Service Desk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Tickets logged</t>
        </is>
      </c>
      <c r="B4" t="n">
        <v>120</v>
      </c>
    </row>
    <row r="5">
      <c r="A5" s="5" t="inlineStr">
        <is>
          <t>Tickets open</t>
        </is>
      </c>
      <c r="B5" s="2" t="n">
        <v>26</v>
      </c>
    </row>
    <row r="6">
      <c r="A6" s="5" t="inlineStr">
        <is>
          <t>Tickets resolved</t>
        </is>
      </c>
      <c r="B6" s="2" t="n">
        <v>84</v>
      </c>
    </row>
    <row r="7">
      <c r="A7" s="5" t="inlineStr">
        <is>
          <t>Tickets pending</t>
        </is>
      </c>
      <c r="B7" s="2" t="n">
        <v>10</v>
      </c>
    </row>
    <row r="8">
      <c r="A8" s="5" t="n"/>
      <c r="B8" s="2" t="n"/>
    </row>
    <row r="10">
      <c r="A10" s="3" t="inlineStr">
        <is>
          <t>Per Technician</t>
        </is>
      </c>
    </row>
    <row r="11">
      <c r="A11" s="4" t="inlineStr">
        <is>
          <t>Technician</t>
        </is>
      </c>
      <c r="B11" s="4" t="inlineStr">
        <is>
          <t>Tickets Handled</t>
        </is>
      </c>
      <c r="C11" s="4" t="inlineStr">
        <is>
          <t>Avg Resolution Time (hrs)</t>
        </is>
      </c>
    </row>
    <row r="12">
      <c r="A12" s="5" t="inlineStr">
        <is>
          <t>T. Moyo</t>
        </is>
      </c>
      <c r="B12" s="2" t="n">
        <v>45</v>
      </c>
      <c r="C12" s="2" t="n">
        <v>5.2</v>
      </c>
    </row>
    <row r="13">
      <c r="A13" s="5" t="inlineStr">
        <is>
          <t>S. Ndlovu</t>
        </is>
      </c>
      <c r="B13" s="2" t="n">
        <v>40</v>
      </c>
      <c r="C13" s="2" t="n">
        <v>6.8</v>
      </c>
    </row>
    <row r="14">
      <c r="A14" s="5" t="inlineStr">
        <is>
          <t>L. Dlamini</t>
        </is>
      </c>
      <c r="B14" s="2" t="n">
        <v>35</v>
      </c>
      <c r="C14" s="2" t="n">
        <v>7.4</v>
      </c>
    </row>
    <row r="16">
      <c r="A16" s="3" t="inlineStr">
        <is>
          <t>Change Requests</t>
        </is>
      </c>
    </row>
    <row r="17">
      <c r="A17" s="5" t="inlineStr">
        <is>
          <t>Approved</t>
        </is>
      </c>
      <c r="B17" s="2" t="n">
        <v>14</v>
      </c>
    </row>
    <row r="18">
      <c r="A18" s="5" t="inlineStr">
        <is>
          <t>Pending</t>
        </is>
      </c>
      <c r="B18" s="2" t="n">
        <v>5</v>
      </c>
    </row>
    <row r="19">
      <c r="A19" s="5" t="inlineStr">
        <is>
          <t>Declined</t>
        </is>
      </c>
      <c r="B1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2026-09-15T09:08:46Z</dcterms:created>
  <dcterms:modified xmlns:dcterms="http://purl.org/dc/terms/" xmlns:xsi="http://www.w3.org/2001/XMLSchema-instance" xsi:type="dcterms:W3CDTF">2026-09-15T09:08:46Z</dcterms:modified>
</cp:coreProperties>
</file>